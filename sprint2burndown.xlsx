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ha Anup\OneDrive\Documents\adaptive-continuous-authentication\"/>
    </mc:Choice>
  </mc:AlternateContent>
  <xr:revisionPtr revIDLastSave="0" documentId="13_ncr:1_{5391BE43-4625-4FBA-A86F-C591FD5D110C}" xr6:coauthVersionLast="47" xr6:coauthVersionMax="47" xr10:uidLastSave="{00000000-0000-0000-0000-000000000000}"/>
  <bookViews>
    <workbookView xWindow="-108" yWindow="-108" windowWidth="23256" windowHeight="12456" xr2:uid="{DC32D7E0-98ED-4F01-806F-DDC93A5B1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F10" i="1" s="1"/>
  <c r="G10" i="1" s="1"/>
  <c r="H10" i="1" s="1"/>
  <c r="I10" i="1" s="1"/>
  <c r="J10" i="1" s="1"/>
  <c r="K10" i="1" s="1"/>
  <c r="E11" i="1"/>
  <c r="F11" i="1"/>
  <c r="G11" i="1"/>
  <c r="H11" i="1"/>
  <c r="I11" i="1"/>
  <c r="J11" i="1"/>
  <c r="K11" i="1"/>
  <c r="Z16" i="1"/>
  <c r="AA16" i="1" s="1"/>
  <c r="AB16" i="1" s="1"/>
  <c r="AC16" i="1" s="1"/>
  <c r="AD16" i="1" s="1"/>
  <c r="AE16" i="1" s="1"/>
  <c r="AF16" i="1" s="1"/>
</calcChain>
</file>

<file path=xl/sharedStrings.xml><?xml version="1.0" encoding="utf-8"?>
<sst xmlns="http://schemas.openxmlformats.org/spreadsheetml/2006/main" count="94" uniqueCount="68">
  <si>
    <t>Initial Estimate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</si>
  <si>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</si>
  <si>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</si>
  <si>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</si>
  <si>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</si>
  <si>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</si>
  <si>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</si>
  <si>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</si>
  <si>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</si>
  <si>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Remaining Effort</t>
  </si>
  <si>
    <t>Ideal Trend</t>
  </si>
  <si>
    <t>Sprint 2 Burndown Chart</t>
  </si>
  <si>
    <t>Feature extraction (keystroke &amp; mouse)</t>
  </si>
  <si>
    <t>Current behaviour profile generation</t>
  </si>
  <si>
    <t>Baseline profile creation</t>
  </si>
  <si>
    <t>Drift detection logic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</si>
  <si>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</si>
  <si>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</si>
  <si>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</si>
  <si>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</si>
  <si>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</si>
  <si>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</si>
  <si>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</si>
  <si>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</si>
  <si>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</si>
  <si>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</si>
  <si>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</si>
  <si>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</si>
  <si>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 xml:space="preserve">Product Backlog </t>
  </si>
  <si>
    <t>User stories</t>
  </si>
  <si>
    <t>Backlog ID</t>
  </si>
  <si>
    <t>As a user, I want to review existing literature and identify research gaps so that the proposed solution is novel and relevant.</t>
  </si>
  <si>
    <t>As a user, I want to design the system architecture so that all components interact efficiently and securely.</t>
  </si>
  <si>
    <t>As a user, I want to set up the backend and development environment so that implementation can begin smoothly.</t>
  </si>
  <si>
    <t>As a user, I want to create baseline and current behavioural profiles so that normal and abnormal behaviours can be compared.</t>
  </si>
  <si>
    <t>As a user, I want to detect behavioural drift so that deviations from normal user behaviour are identified in real time.</t>
  </si>
  <si>
    <t>As a user, I want to apply adaptive learning and trigger alerts so that security responses improve over time.</t>
  </si>
  <si>
    <t>As a user, I want to test and evaluate the system so that its accuracy and reliability are validated.</t>
  </si>
  <si>
    <t>As a user, I want to prepare documentation and presentation materials so that the project outcomes are clearly communicated.</t>
  </si>
  <si>
    <t>Tasks</t>
  </si>
  <si>
    <t>Sprint ID</t>
  </si>
  <si>
    <t>As a user, I want to analyse requirements and define the project scope so that the system objectives are clearly identified.</t>
  </si>
  <si>
    <t>As a user, I want to extract meaningful behavioural features from raw interaction data.</t>
  </si>
  <si>
    <t>As a system, I want to generate a baseline behavioural profile representing normal user behaviour.</t>
  </si>
  <si>
    <t>As a user, I want to generate a baseline behavioural profile representing normal user behaviour.</t>
  </si>
  <si>
    <t>User Story</t>
  </si>
  <si>
    <t>As a researcher, I want to analyse the problem domain and define the project scope so that the system objectives are clearly established.</t>
  </si>
  <si>
    <t>As a researcher, I want to review existing literature on behavioural biometrics and continuous authentication to identify research gaps.</t>
  </si>
  <si>
    <t>As a developer, I want to design the overall system architecture so that data capture, processing, and decision-making are well structured.</t>
  </si>
  <si>
    <t>As a developer, I want to set up the frontend and backend environment to support real-time user interaction processing.</t>
  </si>
  <si>
    <t>As a system, I want to continuously collect keystroke and mouse interaction data during user sessions.</t>
  </si>
  <si>
    <t>As a system, I want to store and manage behavioural logs securely for analysis and profiling.</t>
  </si>
  <si>
    <t>As a system, I want to extract meaningful behavioural features from raw interaction data.</t>
  </si>
  <si>
    <t>As a system, I want to generate baseline and current behavioural profiles for each user.</t>
  </si>
  <si>
    <t>As a system, I want to detect behavioural drift by comparing current behaviour with baseline behaviour.</t>
  </si>
  <si>
    <t>As a system, I want to calculate a risk score and apply user-specific thresholds for authentication decisions.</t>
  </si>
  <si>
    <t>As a system, I want to trigger alerts when suspicious behaviour is detected without overwhelming the user.</t>
  </si>
  <si>
    <t>As a system, I want to adapt to long-term behavioural changes through controlled learning mechanisms.</t>
  </si>
  <si>
    <t>PB13</t>
  </si>
  <si>
    <t>As a system, I want to support multiple users with independent behavioural profiles and thresholds.</t>
  </si>
  <si>
    <t>PB14</t>
  </si>
  <si>
    <t>As a developer, I want to visualise authentication status and system decisions through a dashboard.</t>
  </si>
  <si>
    <t>PB15</t>
  </si>
  <si>
    <t>As a researcher, I want to evaluate system performance using security and usability metrics.</t>
  </si>
  <si>
    <t>Detect behavioural drift</t>
  </si>
  <si>
    <t>calculate a risk score and apply user-specific thresholds</t>
  </si>
  <si>
    <t xml:space="preserve">setting trigger alerts when suspicious behaviour is detected </t>
  </si>
  <si>
    <t>Sprint 4 Burndown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</si>
</sst>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7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7" fontId="7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Sprint 4 Burndown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Sheet1!$D$6:$K$6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Sheet1!$D$10:$K$10</c:f>
              <c:numCache>
                <c:formatCode>General</c:formatCode>
                <c:ptCount val="8"/>
                <c:pt idx="0">
                  <c:v>20</c:v>
                </c:pt>
                <c:pt idx="1">
                  <c:v>18</c:v>
                </c:pt>
                <c:pt idx="2">
                  <c:v>17</c:v>
                </c:pt>
                <c:pt idx="3">
                  <c:v>13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C-40A8-AED9-13ED84CCD528}"/>
            </c:ext>
          </c:extLst>
        </c:ser>
        <c:ser>
          <c:idx val="1"/>
          <c:order val="1"/>
          <c:tx>
            <c:strRef>
              <c:f>Sheet1!$B$11</c:f>
              <c:strCache>
                <c:ptCount val="1"/>
                <c:pt idx="0">
                  <c:v>Ideal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Sheet1!$D$6:$K$6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Sheet1!$D$11:$K$11</c:f>
              <c:numCache>
                <c:formatCode>General</c:formatCode>
                <c:ptCount val="8"/>
                <c:pt idx="0">
                  <c:v>20</c:v>
                </c:pt>
                <c:pt idx="1">
                  <c:v>17.142857142857142</c:v>
                </c:pt>
                <c:pt idx="2">
                  <c:v>14.285714285714285</c:v>
                </c:pt>
                <c:pt idx="3">
                  <c:v>11.428571428571429</c:v>
                </c:pt>
                <c:pt idx="4">
                  <c:v>8.5714285714285712</c:v>
                </c:pt>
                <c:pt idx="5">
                  <c:v>5.7142857142857135</c:v>
                </c:pt>
                <c:pt idx="6">
                  <c:v>2.8571428571428577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2C-40A8-AED9-13ED84CC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151647"/>
        <c:axId val="215150687"/>
      </c:lineChart>
      <c:catAx>
        <c:axId val="21515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50687"/>
        <c:crosses val="autoZero"/>
        <c:auto val="1"/>
        <c:lblAlgn val="ctr"/>
        <c:lblOffset val="100"/>
        <c:noMultiLvlLbl val="0"/>
      </c:catAx>
      <c:valAx>
        <c:axId val="21515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5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Sprint 1 Burndown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Sheet1!$D$6:$K$6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Sheet1!$D$10:$K$10</c:f>
              <c:numCache>
                <c:formatCode>General</c:formatCode>
                <c:ptCount val="8"/>
                <c:pt idx="0">
                  <c:v>20</c:v>
                </c:pt>
                <c:pt idx="1">
                  <c:v>18</c:v>
                </c:pt>
                <c:pt idx="2">
                  <c:v>17</c:v>
                </c:pt>
                <c:pt idx="3">
                  <c:v>13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F-4A05-B89C-A48A175572D6}"/>
            </c:ext>
          </c:extLst>
        </c:ser>
        <c:ser>
          <c:idx val="1"/>
          <c:order val="1"/>
          <c:tx>
            <c:strRef>
              <c:f>Sheet1!$B$11</c:f>
              <c:strCache>
                <c:ptCount val="1"/>
                <c:pt idx="0">
                  <c:v>Ideal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Sheet1!$D$6:$K$6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Sheet1!$D$11:$K$11</c:f>
              <c:numCache>
                <c:formatCode>General</c:formatCode>
                <c:ptCount val="8"/>
                <c:pt idx="0">
                  <c:v>20</c:v>
                </c:pt>
                <c:pt idx="1">
                  <c:v>17.142857142857142</c:v>
                </c:pt>
                <c:pt idx="2">
                  <c:v>14.285714285714285</c:v>
                </c:pt>
                <c:pt idx="3">
                  <c:v>11.428571428571429</c:v>
                </c:pt>
                <c:pt idx="4">
                  <c:v>8.5714285714285712</c:v>
                </c:pt>
                <c:pt idx="5">
                  <c:v>5.7142857142857135</c:v>
                </c:pt>
                <c:pt idx="6">
                  <c:v>2.8571428571428577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0F-4A05-B89C-A48A17557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151647"/>
        <c:axId val="215150687"/>
      </c:lineChart>
      <c:catAx>
        <c:axId val="21515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50687"/>
        <c:crosses val="autoZero"/>
        <c:auto val="1"/>
        <c:lblAlgn val="ctr"/>
        <c:lblOffset val="100"/>
        <c:noMultiLvlLbl val="0"/>
      </c:catAx>
      <c:valAx>
        <c:axId val="21515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5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354965</xdr:colOff>
      <xdr:row>17</xdr:row>
      <xdr:rowOff>19685</xdr:rowOff>
    </xdr:from>
    <xdr:to>
      <xdr:col>11</xdr:col>
      <xdr:colOff>0</xdr:colOff>
      <xdr:row>37</xdr:row>
      <xdr:rowOff>38735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FC2888-AEFC-E8AB-08A5-D21649E44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22</xdr:row>
      <xdr:rowOff>19685</xdr:rowOff>
    </xdr:from>
    <xdr:to>
      <xdr:col>32</xdr:col>
      <xdr:colOff>0</xdr:colOff>
      <xdr:row>42</xdr:row>
      <xdr:rowOff>38735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5CA36E-E8A3-4719-82EE-B71A25006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65AD-58F3-4658-B1DA-21313D2061B9}">
  <dimension ref="A1:AN69"/>
  <sheetViews>
    <sheetView tabSelected="1" topLeftCell="A15" zoomScale="68" zoomScaleNormal="68" workbookViewId="0">
      <selection activeCell="F15" sqref="F15"/>
    </sheetView>
  </sheetViews>
  <sheetFormatPr defaultRowHeight="14.4" x14ac:dyDescent="0.3"/>
  <cols>
    <col min="1" max="1" width="5.33203125" customWidth="1"/>
    <col min="2" max="2" width="15.21875" customWidth="1"/>
    <col min="3" max="3" width="74.6640625" customWidth="1"/>
    <col min="4" max="4" width="20.33203125" customWidth="1"/>
    <col min="5" max="5" width="11.6640625" customWidth="1"/>
    <col min="6" max="7" width="11.33203125" customWidth="1"/>
    <col min="8" max="8" width="11" customWidth="1"/>
    <col min="9" max="9" width="11.33203125" customWidth="1"/>
    <col min="10" max="10" width="11.109375" customWidth="1"/>
    <col min="11" max="11" width="13.77734375" customWidth="1"/>
    <col min="16" max="17" width="3.5546875" customWidth="1"/>
    <col min="18" max="18" width="26.6640625" customWidth="1"/>
    <col min="19" max="19" width="22.88671875" customWidth="1"/>
    <col min="20" max="20" width="43.77734375" customWidth="1"/>
    <col min="21" max="21" width="9" bestFit="1" customWidth="1"/>
    <col min="22" max="22" width="10.109375" bestFit="1" customWidth="1"/>
    <col min="23" max="23" width="18.33203125" customWidth="1"/>
    <col min="24" max="24" width="49" customWidth="1"/>
    <col min="25" max="25" width="26.88671875" customWidth="1"/>
    <col min="26" max="26" width="12.109375" customWidth="1"/>
    <col min="27" max="27" width="13.77734375" customWidth="1"/>
    <col min="28" max="28" width="13.21875" customWidth="1"/>
    <col min="29" max="29" width="10.109375" bestFit="1" customWidth="1"/>
    <col min="30" max="30" width="12.33203125" customWidth="1"/>
    <col min="31" max="31" width="11.5546875" customWidth="1"/>
    <col min="32" max="32" width="12.109375" customWidth="1"/>
  </cols>
  <sheetData>
    <row r="1" spans="1:40" ht="15" customHeight="1" x14ac:dyDescent="0.3">
      <c r="A1" s="2"/>
      <c r="B1" s="18" t="s">
        <v>67</v>
      </c>
      <c r="C1" s="18"/>
      <c r="D1" s="18"/>
      <c r="E1" s="18"/>
      <c r="F1" s="18"/>
      <c r="G1" s="18"/>
      <c r="H1" s="18"/>
      <c r="I1" s="18"/>
      <c r="J1" s="18"/>
      <c r="K1" s="1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x14ac:dyDescent="0.3">
      <c r="A2" s="2"/>
      <c r="B2" s="18"/>
      <c r="C2" s="18"/>
      <c r="D2" s="18"/>
      <c r="E2" s="18"/>
      <c r="F2" s="18"/>
      <c r="G2" s="18"/>
      <c r="H2" s="18"/>
      <c r="I2" s="18"/>
      <c r="J2" s="18"/>
      <c r="K2" s="1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5" customHeight="1" x14ac:dyDescent="0.3">
      <c r="A3" s="2"/>
      <c r="B3" s="18"/>
      <c r="C3" s="18"/>
      <c r="D3" s="18"/>
      <c r="E3" s="18"/>
      <c r="F3" s="18"/>
      <c r="G3" s="18"/>
      <c r="H3" s="18"/>
      <c r="I3" s="18"/>
      <c r="J3" s="18"/>
      <c r="K3" s="1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21" x14ac:dyDescent="0.3">
      <c r="A4" s="3"/>
      <c r="B4" s="19"/>
      <c r="C4" s="19"/>
      <c r="D4" s="19"/>
      <c r="E4" s="19"/>
      <c r="F4" s="19"/>
      <c r="G4" s="19"/>
      <c r="H4" s="19"/>
      <c r="I4" s="19"/>
      <c r="J4" s="19"/>
      <c r="K4" s="1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40" ht="21" x14ac:dyDescent="0.3">
      <c r="A5" s="3"/>
      <c r="B5" s="20" t="s">
        <v>40</v>
      </c>
      <c r="C5" s="20" t="s">
        <v>39</v>
      </c>
      <c r="D5" s="11" t="s">
        <v>0</v>
      </c>
      <c r="E5" s="12">
        <v>39114</v>
      </c>
      <c r="F5" s="12">
        <v>39479</v>
      </c>
      <c r="G5" s="12">
        <v>39845</v>
      </c>
      <c r="H5" s="12">
        <v>40210</v>
      </c>
      <c r="I5" s="12">
        <v>40940</v>
      </c>
      <c r="J5" s="12">
        <v>41306</v>
      </c>
      <c r="K5" s="12">
        <v>42736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40" ht="21" x14ac:dyDescent="0.3">
      <c r="A6" s="3"/>
      <c r="B6" s="21"/>
      <c r="C6" s="21"/>
      <c r="D6" s="11" t="s">
        <v>1</v>
      </c>
      <c r="E6" s="11" t="s">
        <v>2</v>
      </c>
      <c r="F6" s="11" t="s">
        <v>3</v>
      </c>
      <c r="G6" s="11" t="s">
        <v>4</v>
      </c>
      <c r="H6" s="11" t="s">
        <v>5</v>
      </c>
      <c r="I6" s="11" t="s">
        <v>6</v>
      </c>
      <c r="J6" s="11" t="s">
        <v>7</v>
      </c>
      <c r="K6" s="11" t="s">
        <v>8</v>
      </c>
      <c r="L6" s="2"/>
      <c r="M6" s="2"/>
      <c r="N6" s="2"/>
      <c r="O6" s="2"/>
      <c r="P6" s="2"/>
      <c r="Q6" s="2"/>
      <c r="R6" s="2"/>
      <c r="S6" s="24" t="s">
        <v>11</v>
      </c>
      <c r="T6" s="25"/>
      <c r="U6" s="25"/>
      <c r="V6" s="25"/>
      <c r="W6" s="25"/>
      <c r="X6" s="25"/>
      <c r="Y6" s="25"/>
      <c r="Z6" s="25"/>
      <c r="AA6" s="25"/>
      <c r="AB6" s="26"/>
      <c r="AC6" s="2"/>
      <c r="AD6" s="2"/>
      <c r="AE6" s="2"/>
      <c r="AF6" s="2"/>
      <c r="AG6" s="2"/>
      <c r="AH6" s="2"/>
      <c r="AI6" s="2"/>
      <c r="AJ6" s="2"/>
    </row>
    <row r="7" spans="1:40" ht="29.4" customHeight="1" x14ac:dyDescent="0.3">
      <c r="A7" s="3"/>
      <c r="B7" s="11">
        <v>1011</v>
      </c>
      <c r="C7" s="11" t="s">
        <v>64</v>
      </c>
      <c r="D7" s="11">
        <v>6</v>
      </c>
      <c r="E7" s="11">
        <v>2</v>
      </c>
      <c r="F7" s="11">
        <v>1</v>
      </c>
      <c r="G7" s="11">
        <v>2</v>
      </c>
      <c r="H7" s="11">
        <v>1</v>
      </c>
      <c r="I7" s="11"/>
      <c r="J7" s="11"/>
      <c r="K7" s="11"/>
      <c r="L7" s="2"/>
      <c r="M7" s="2"/>
      <c r="N7" s="2"/>
      <c r="O7" s="2"/>
      <c r="P7" s="2"/>
      <c r="Q7" s="2"/>
      <c r="R7" s="2"/>
      <c r="S7" s="27"/>
      <c r="T7" s="28"/>
      <c r="U7" s="28"/>
      <c r="V7" s="28"/>
      <c r="W7" s="28"/>
      <c r="X7" s="28"/>
      <c r="Y7" s="28"/>
      <c r="Z7" s="28"/>
      <c r="AA7" s="28"/>
      <c r="AB7" s="29"/>
      <c r="AC7" s="2"/>
      <c r="AD7" s="2"/>
      <c r="AE7" s="2"/>
      <c r="AF7" s="2"/>
      <c r="AG7" s="2"/>
      <c r="AH7" s="2"/>
      <c r="AI7" s="2"/>
      <c r="AJ7" s="2"/>
    </row>
    <row r="8" spans="1:40" ht="22.8" customHeight="1" x14ac:dyDescent="0.3">
      <c r="A8" s="3"/>
      <c r="B8" s="11">
        <v>1012</v>
      </c>
      <c r="C8" s="11" t="s">
        <v>65</v>
      </c>
      <c r="D8" s="11">
        <v>9</v>
      </c>
      <c r="E8" s="11"/>
      <c r="F8" s="11"/>
      <c r="G8" s="11">
        <v>2</v>
      </c>
      <c r="H8" s="11">
        <v>3</v>
      </c>
      <c r="I8" s="11">
        <v>3</v>
      </c>
      <c r="J8" s="11">
        <v>1</v>
      </c>
      <c r="K8" s="11"/>
      <c r="L8" s="2"/>
      <c r="M8" s="2"/>
      <c r="N8" s="2"/>
      <c r="O8" s="2"/>
      <c r="P8" s="2"/>
      <c r="Q8" s="2"/>
      <c r="R8" s="2"/>
      <c r="S8" s="30"/>
      <c r="T8" s="31"/>
      <c r="U8" s="31"/>
      <c r="V8" s="31"/>
      <c r="W8" s="31"/>
      <c r="X8" s="31"/>
      <c r="Y8" s="31"/>
      <c r="Z8" s="31"/>
      <c r="AA8" s="31"/>
      <c r="AB8" s="32"/>
      <c r="AC8" s="2"/>
      <c r="AD8" s="2"/>
      <c r="AE8" s="2"/>
      <c r="AF8" s="2"/>
      <c r="AG8" s="2"/>
      <c r="AH8" s="2"/>
      <c r="AI8" s="2"/>
      <c r="AJ8" s="2"/>
    </row>
    <row r="9" spans="1:40" ht="23.4" customHeight="1" x14ac:dyDescent="0.35">
      <c r="A9" s="3"/>
      <c r="B9" s="11">
        <v>1013</v>
      </c>
      <c r="C9" s="11" t="s">
        <v>66</v>
      </c>
      <c r="D9" s="11">
        <v>5</v>
      </c>
      <c r="E9" s="11"/>
      <c r="F9" s="11"/>
      <c r="G9" s="11"/>
      <c r="H9" s="11"/>
      <c r="I9" s="11">
        <v>3</v>
      </c>
      <c r="J9" s="11">
        <v>1</v>
      </c>
      <c r="K9" s="11">
        <v>1</v>
      </c>
      <c r="L9" s="2"/>
      <c r="M9" s="2"/>
      <c r="N9" s="2"/>
      <c r="O9" s="2"/>
      <c r="P9" s="2"/>
      <c r="Q9" s="2"/>
      <c r="R9" s="2"/>
      <c r="S9" s="33"/>
      <c r="T9" s="34"/>
      <c r="U9" s="34"/>
      <c r="V9" s="34"/>
      <c r="W9" s="34"/>
      <c r="X9" s="34"/>
      <c r="Y9" s="34"/>
      <c r="Z9" s="34"/>
      <c r="AA9" s="34"/>
      <c r="AB9" s="35"/>
      <c r="AC9" s="2"/>
      <c r="AD9" s="2"/>
      <c r="AE9" s="2"/>
      <c r="AF9" s="2"/>
      <c r="AG9" s="2"/>
      <c r="AH9" s="2"/>
      <c r="AI9" s="2"/>
      <c r="AJ9" s="2"/>
    </row>
    <row r="10" spans="1:40" ht="30.6" customHeight="1" x14ac:dyDescent="0.4">
      <c r="A10" s="3"/>
      <c r="B10" s="22" t="s">
        <v>9</v>
      </c>
      <c r="C10" s="23"/>
      <c r="D10" s="11">
        <v>20</v>
      </c>
      <c r="E10" s="11">
        <f>D10-SUM(E7:E9)</f>
        <v>18</v>
      </c>
      <c r="F10" s="11">
        <f>E10-SUM(F7:F9)</f>
        <v>17</v>
      </c>
      <c r="G10" s="11">
        <f>F10-SUM(G7:G9)</f>
        <v>13</v>
      </c>
      <c r="H10" s="11">
        <f>G10-SUM(H7:H9)</f>
        <v>9</v>
      </c>
      <c r="I10" s="11">
        <f>H10-SUM(I7:I9)</f>
        <v>3</v>
      </c>
      <c r="J10" s="11">
        <f>I10-SUM(J7:J9)</f>
        <v>1</v>
      </c>
      <c r="K10" s="11">
        <f>J10-SUM(K7:K9)</f>
        <v>0</v>
      </c>
      <c r="L10" s="2"/>
      <c r="M10" s="2"/>
      <c r="N10" s="2"/>
      <c r="O10" s="2"/>
      <c r="P10" s="2"/>
      <c r="Q10" s="2"/>
      <c r="R10" s="2"/>
      <c r="S10" s="20" t="s">
        <v>40</v>
      </c>
      <c r="T10" s="20" t="s">
        <v>39</v>
      </c>
      <c r="U10" s="9" t="s">
        <v>0</v>
      </c>
      <c r="V10" s="10">
        <v>44896</v>
      </c>
      <c r="W10" s="10">
        <v>45261</v>
      </c>
      <c r="X10" s="10">
        <v>46722</v>
      </c>
      <c r="Y10" s="10">
        <v>47088</v>
      </c>
      <c r="Z10" s="10">
        <v>36892</v>
      </c>
      <c r="AA10" s="10">
        <v>37257</v>
      </c>
      <c r="AB10" s="10">
        <v>37622</v>
      </c>
      <c r="AC10" s="2"/>
      <c r="AD10" s="2"/>
      <c r="AE10" s="2"/>
      <c r="AF10" s="2"/>
      <c r="AG10" s="2"/>
      <c r="AH10" s="2"/>
      <c r="AI10" s="2"/>
      <c r="AJ10" s="2"/>
    </row>
    <row r="11" spans="1:40" ht="30.6" customHeight="1" x14ac:dyDescent="0.4">
      <c r="A11" s="3"/>
      <c r="B11" s="22" t="s">
        <v>10</v>
      </c>
      <c r="C11" s="23"/>
      <c r="D11" s="11">
        <v>20</v>
      </c>
      <c r="E11" s="11">
        <f>$D$11-($D$11/7*1)</f>
        <v>17.142857142857142</v>
      </c>
      <c r="F11" s="11">
        <f>$D$11-($D$11/7*2)</f>
        <v>14.285714285714285</v>
      </c>
      <c r="G11" s="11">
        <f>$D$11-($D$11/7*3)</f>
        <v>11.428571428571429</v>
      </c>
      <c r="H11" s="11">
        <f>$D$11-($D$11/7*4)</f>
        <v>8.5714285714285712</v>
      </c>
      <c r="I11" s="11">
        <f>$D$11-($D$11/7*5)</f>
        <v>5.7142857142857135</v>
      </c>
      <c r="J11" s="11">
        <f>$D$11-($D$11/7*6)</f>
        <v>2.8571428571428577</v>
      </c>
      <c r="K11" s="11">
        <f>$D$11-($D$11/7*7)</f>
        <v>0</v>
      </c>
      <c r="L11" s="2"/>
      <c r="M11" s="2"/>
      <c r="N11" s="2"/>
      <c r="O11" s="2"/>
      <c r="P11" s="2"/>
      <c r="Q11" s="2"/>
      <c r="R11" s="2"/>
      <c r="S11" s="21"/>
      <c r="T11" s="21"/>
      <c r="U11" s="9" t="s">
        <v>1</v>
      </c>
      <c r="V11" s="9" t="s">
        <v>2</v>
      </c>
      <c r="W11" s="9" t="s">
        <v>3</v>
      </c>
      <c r="X11" s="9" t="s">
        <v>4</v>
      </c>
      <c r="Y11" s="9" t="s">
        <v>5</v>
      </c>
      <c r="Z11" s="9" t="s">
        <v>6</v>
      </c>
      <c r="AA11" s="9" t="s">
        <v>7</v>
      </c>
      <c r="AB11" s="9" t="s">
        <v>8</v>
      </c>
      <c r="AC11" s="2"/>
      <c r="AD11" s="2"/>
      <c r="AE11" s="2"/>
      <c r="AF11" s="2"/>
      <c r="AG11" s="2"/>
      <c r="AH11" s="2"/>
      <c r="AI11" s="2"/>
      <c r="AJ11" s="2"/>
    </row>
    <row r="12" spans="1:40" ht="22.8" customHeight="1" x14ac:dyDescent="0.3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8">
        <v>1004</v>
      </c>
      <c r="T12" s="8" t="s">
        <v>12</v>
      </c>
      <c r="U12" s="8">
        <v>4</v>
      </c>
      <c r="V12" s="8">
        <v>1</v>
      </c>
      <c r="W12" s="8">
        <v>1</v>
      </c>
      <c r="X12" s="8">
        <v>1</v>
      </c>
      <c r="Y12" s="8">
        <v>1</v>
      </c>
      <c r="Z12" s="8"/>
      <c r="AA12" s="8"/>
      <c r="AB12" s="8"/>
      <c r="AC12" s="2"/>
      <c r="AD12" s="2"/>
      <c r="AE12" s="2"/>
      <c r="AF12" s="2"/>
      <c r="AG12" s="2"/>
      <c r="AH12" s="2"/>
      <c r="AI12" s="2"/>
      <c r="AJ12" s="2"/>
    </row>
    <row r="13" spans="1:40" ht="22.8" customHeight="1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"/>
      <c r="R13" s="1"/>
      <c r="S13" s="1"/>
      <c r="T13" s="1"/>
      <c r="U13" s="2"/>
      <c r="V13" s="2"/>
      <c r="W13" s="8">
        <v>1005</v>
      </c>
      <c r="X13" s="8" t="s">
        <v>13</v>
      </c>
      <c r="Y13" s="8">
        <v>3</v>
      </c>
      <c r="Z13" s="8"/>
      <c r="AA13" s="8"/>
      <c r="AB13" s="8">
        <v>2</v>
      </c>
      <c r="AC13" s="8">
        <v>1</v>
      </c>
      <c r="AD13" s="8"/>
      <c r="AE13" s="8"/>
      <c r="AF13" s="8"/>
      <c r="AG13" s="2"/>
      <c r="AH13" s="2"/>
      <c r="AI13" s="2"/>
      <c r="AJ13" s="2"/>
      <c r="AK13" s="2"/>
      <c r="AL13" s="2"/>
      <c r="AM13" s="2"/>
      <c r="AN13" s="2"/>
    </row>
    <row r="14" spans="1:40" ht="25.2" customHeight="1" x14ac:dyDescent="0.3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"/>
      <c r="R14" s="1"/>
      <c r="S14" s="1"/>
      <c r="T14" s="1"/>
      <c r="U14" s="2"/>
      <c r="V14" s="2"/>
      <c r="W14" s="8">
        <v>1006</v>
      </c>
      <c r="X14" s="8" t="s">
        <v>14</v>
      </c>
      <c r="Y14" s="8">
        <v>2</v>
      </c>
      <c r="Z14" s="8"/>
      <c r="AA14" s="8"/>
      <c r="AB14" s="8"/>
      <c r="AC14" s="8"/>
      <c r="AD14" s="8">
        <v>2</v>
      </c>
      <c r="AE14" s="8"/>
      <c r="AF14" s="8"/>
      <c r="AG14" s="2"/>
      <c r="AH14" s="2"/>
      <c r="AI14" s="2"/>
      <c r="AJ14" s="2"/>
      <c r="AK14" s="2"/>
      <c r="AL14" s="2"/>
      <c r="AM14" s="2"/>
      <c r="AN14" s="2"/>
    </row>
    <row r="15" spans="1:40" ht="25.8" customHeight="1" x14ac:dyDescent="0.3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"/>
      <c r="R15" s="1"/>
      <c r="S15" s="1"/>
      <c r="T15" s="1"/>
      <c r="U15" s="2"/>
      <c r="V15" s="2"/>
      <c r="W15" s="8">
        <v>1007</v>
      </c>
      <c r="X15" s="8" t="s">
        <v>15</v>
      </c>
      <c r="Y15" s="8">
        <v>3</v>
      </c>
      <c r="Z15" s="8"/>
      <c r="AA15" s="8"/>
      <c r="AB15" s="8"/>
      <c r="AC15" s="8"/>
      <c r="AD15" s="8"/>
      <c r="AE15" s="8">
        <v>2</v>
      </c>
      <c r="AF15" s="8">
        <v>1</v>
      </c>
      <c r="AG15" s="2"/>
      <c r="AH15" s="2"/>
      <c r="AI15" s="2"/>
      <c r="AJ15" s="2"/>
      <c r="AK15" s="2"/>
      <c r="AL15" s="2"/>
      <c r="AM15" s="2"/>
      <c r="AN15" s="2"/>
    </row>
    <row r="16" spans="1:40" ht="25.2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"/>
      <c r="R16" s="1"/>
      <c r="S16" s="1"/>
      <c r="T16" s="1"/>
      <c r="U16" s="2"/>
      <c r="V16" s="2"/>
      <c r="W16" s="17" t="s">
        <v>9</v>
      </c>
      <c r="X16" s="17"/>
      <c r="Y16" s="8">
        <v>12</v>
      </c>
      <c r="Z16" s="8">
        <f t="shared" ref="Z16:AF16" si="0">Y16-SUM(Z12:Z15)</f>
        <v>12</v>
      </c>
      <c r="AA16" s="8">
        <f t="shared" si="0"/>
        <v>12</v>
      </c>
      <c r="AB16" s="8">
        <f t="shared" si="0"/>
        <v>10</v>
      </c>
      <c r="AC16" s="8">
        <f t="shared" si="0"/>
        <v>9</v>
      </c>
      <c r="AD16" s="8">
        <f t="shared" si="0"/>
        <v>7</v>
      </c>
      <c r="AE16" s="8">
        <f t="shared" si="0"/>
        <v>5</v>
      </c>
      <c r="AF16" s="8">
        <f t="shared" si="0"/>
        <v>4</v>
      </c>
      <c r="AG16" s="2"/>
      <c r="AH16" s="2"/>
      <c r="AI16" s="2"/>
      <c r="AJ16" s="2"/>
      <c r="AK16" s="2"/>
      <c r="AL16" s="2"/>
      <c r="AM16" s="2"/>
      <c r="AN16" s="2"/>
    </row>
    <row r="17" spans="1:40" ht="33.6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7" t="s">
        <v>10</v>
      </c>
      <c r="T17" s="17"/>
      <c r="U17" s="8">
        <v>12</v>
      </c>
      <c r="V17" s="8">
        <v>10.2857</v>
      </c>
      <c r="W17" s="8">
        <v>8.5714299999999994</v>
      </c>
      <c r="X17" s="8">
        <v>6.8571400000000002</v>
      </c>
      <c r="Y17" s="8">
        <v>5.1428599999999998</v>
      </c>
      <c r="Z17" s="8">
        <v>3.4285700000000001</v>
      </c>
      <c r="AA17" s="8">
        <v>1.7142900000000001</v>
      </c>
      <c r="AB17" s="8">
        <v>0</v>
      </c>
      <c r="AC17" s="2"/>
      <c r="AD17" s="2"/>
      <c r="AE17" s="2"/>
      <c r="AF17" s="2"/>
      <c r="AG17" s="2"/>
      <c r="AH17" s="2"/>
      <c r="AI17" s="2"/>
      <c r="AJ17" s="2"/>
    </row>
    <row r="18" spans="1:40" ht="29.4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C18" s="2"/>
      <c r="AD18" s="2"/>
      <c r="AE18" s="2"/>
      <c r="AF18" s="2"/>
      <c r="AG18" s="2"/>
      <c r="AH18" s="2"/>
      <c r="AI18" s="2"/>
      <c r="AJ18" s="2"/>
    </row>
    <row r="19" spans="1:40" ht="29.4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40" ht="30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40" ht="33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40" ht="1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40" ht="1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40" ht="1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40" ht="1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40" ht="1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40" ht="1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40" ht="1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1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ht="1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8" x14ac:dyDescent="0.3">
      <c r="A38" s="2"/>
      <c r="B38" s="4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20.399999999999999" x14ac:dyDescent="0.3">
      <c r="A39" s="2"/>
      <c r="B39" s="15" t="s">
        <v>28</v>
      </c>
      <c r="C39" s="1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8" x14ac:dyDescent="0.3">
      <c r="A40" s="2"/>
      <c r="B40" s="5" t="s">
        <v>30</v>
      </c>
      <c r="C40" s="5" t="s">
        <v>29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31.2" x14ac:dyDescent="0.3">
      <c r="A41" s="4">
        <v>12</v>
      </c>
      <c r="B41" s="5" t="s">
        <v>16</v>
      </c>
      <c r="C41" s="6" t="s">
        <v>41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27" customHeight="1" x14ac:dyDescent="0.3">
      <c r="A42" s="4"/>
      <c r="B42" s="5" t="s">
        <v>17</v>
      </c>
      <c r="C42" s="6" t="s">
        <v>31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39.6" customHeight="1" x14ac:dyDescent="0.3">
      <c r="A43" s="4"/>
      <c r="B43" s="5" t="s">
        <v>18</v>
      </c>
      <c r="C43" s="6" t="s">
        <v>32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31.2" x14ac:dyDescent="0.3">
      <c r="A44" s="4"/>
      <c r="B44" s="5" t="s">
        <v>19</v>
      </c>
      <c r="C44" s="6" t="s">
        <v>33</v>
      </c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31.2" x14ac:dyDescent="0.3">
      <c r="A45" s="4"/>
      <c r="B45" s="5" t="s">
        <v>20</v>
      </c>
      <c r="C45" s="6" t="s">
        <v>43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35.4" customHeight="1" x14ac:dyDescent="0.3">
      <c r="A46" s="4"/>
      <c r="B46" s="5" t="s">
        <v>21</v>
      </c>
      <c r="C46" s="6" t="s">
        <v>42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AG46" s="2"/>
      <c r="AH46" s="2"/>
      <c r="AI46" s="2"/>
      <c r="AJ46" s="2"/>
      <c r="AK46" s="2"/>
      <c r="AL46" s="2"/>
      <c r="AM46" s="2"/>
      <c r="AN46" s="2"/>
    </row>
    <row r="47" spans="1:40" ht="35.4" customHeight="1" x14ac:dyDescent="0.3">
      <c r="A47" s="4"/>
      <c r="B47" s="5" t="s">
        <v>22</v>
      </c>
      <c r="C47" s="6" t="s">
        <v>44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AG47" s="2"/>
      <c r="AH47" s="2"/>
      <c r="AI47" s="2"/>
      <c r="AJ47" s="2"/>
      <c r="AK47" s="2"/>
      <c r="AL47" s="2"/>
      <c r="AM47" s="2"/>
      <c r="AN47" s="2"/>
    </row>
    <row r="48" spans="1:40" ht="33.6" customHeight="1" x14ac:dyDescent="0.3">
      <c r="A48" s="4"/>
      <c r="B48" s="5" t="s">
        <v>23</v>
      </c>
      <c r="C48" s="6" t="s">
        <v>34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AG48" s="2"/>
      <c r="AH48" s="2"/>
      <c r="AI48" s="2"/>
      <c r="AJ48" s="2"/>
      <c r="AK48" s="2"/>
      <c r="AL48" s="2"/>
      <c r="AM48" s="2"/>
      <c r="AN48" s="2"/>
    </row>
    <row r="49" spans="1:18" ht="37.200000000000003" customHeight="1" x14ac:dyDescent="0.3">
      <c r="A49" s="7"/>
      <c r="B49" s="5" t="s">
        <v>24</v>
      </c>
      <c r="C49" s="6" t="s">
        <v>35</v>
      </c>
      <c r="R49" s="2"/>
    </row>
    <row r="50" spans="1:18" ht="37.799999999999997" customHeight="1" x14ac:dyDescent="0.3">
      <c r="A50" s="7"/>
      <c r="B50" s="5" t="s">
        <v>25</v>
      </c>
      <c r="C50" s="6" t="s">
        <v>36</v>
      </c>
    </row>
    <row r="51" spans="1:18" ht="46.8" customHeight="1" x14ac:dyDescent="0.3">
      <c r="A51" s="7"/>
      <c r="B51" s="5" t="s">
        <v>26</v>
      </c>
      <c r="C51" s="6" t="s">
        <v>37</v>
      </c>
    </row>
    <row r="52" spans="1:18" ht="42" customHeight="1" x14ac:dyDescent="0.3">
      <c r="A52" s="7"/>
      <c r="B52" s="5" t="s">
        <v>27</v>
      </c>
      <c r="C52" s="6" t="s">
        <v>38</v>
      </c>
    </row>
    <row r="53" spans="1:18" ht="31.2" customHeight="1" x14ac:dyDescent="0.3">
      <c r="A53" s="7"/>
      <c r="B53" s="7"/>
      <c r="C53" s="7"/>
    </row>
    <row r="54" spans="1:18" ht="30.6" customHeight="1" x14ac:dyDescent="0.3">
      <c r="A54" s="7"/>
      <c r="B54" s="13" t="s">
        <v>30</v>
      </c>
      <c r="C54" s="13" t="s">
        <v>45</v>
      </c>
    </row>
    <row r="55" spans="1:18" ht="28.8" x14ac:dyDescent="0.3">
      <c r="A55" s="7"/>
      <c r="B55" s="14" t="s">
        <v>16</v>
      </c>
      <c r="C55" s="14" t="s">
        <v>46</v>
      </c>
    </row>
    <row r="56" spans="1:18" ht="28.8" x14ac:dyDescent="0.3">
      <c r="A56" s="7"/>
      <c r="B56" s="14" t="s">
        <v>17</v>
      </c>
      <c r="C56" s="14" t="s">
        <v>47</v>
      </c>
    </row>
    <row r="57" spans="1:18" ht="28.8" x14ac:dyDescent="0.3">
      <c r="B57" s="14" t="s">
        <v>18</v>
      </c>
      <c r="C57" s="14" t="s">
        <v>48</v>
      </c>
    </row>
    <row r="58" spans="1:18" ht="28.8" x14ac:dyDescent="0.3">
      <c r="B58" s="14" t="s">
        <v>19</v>
      </c>
      <c r="C58" s="14" t="s">
        <v>49</v>
      </c>
    </row>
    <row r="59" spans="1:18" ht="28.8" x14ac:dyDescent="0.3">
      <c r="B59" s="14" t="s">
        <v>20</v>
      </c>
      <c r="C59" s="14" t="s">
        <v>50</v>
      </c>
    </row>
    <row r="60" spans="1:18" ht="28.8" x14ac:dyDescent="0.3">
      <c r="B60" s="14" t="s">
        <v>21</v>
      </c>
      <c r="C60" s="14" t="s">
        <v>51</v>
      </c>
      <c r="E60" s="1"/>
      <c r="F60" s="1"/>
      <c r="G60" s="1"/>
      <c r="H60" s="1"/>
    </row>
    <row r="61" spans="1:18" ht="28.8" x14ac:dyDescent="0.3">
      <c r="B61" s="14" t="s">
        <v>22</v>
      </c>
      <c r="C61" s="14" t="s">
        <v>52</v>
      </c>
    </row>
    <row r="62" spans="1:18" x14ac:dyDescent="0.3">
      <c r="B62" s="14" t="s">
        <v>23</v>
      </c>
      <c r="C62" s="14" t="s">
        <v>53</v>
      </c>
    </row>
    <row r="63" spans="1:18" ht="28.8" x14ac:dyDescent="0.3">
      <c r="B63" s="14" t="s">
        <v>24</v>
      </c>
      <c r="C63" s="14" t="s">
        <v>54</v>
      </c>
    </row>
    <row r="64" spans="1:18" ht="28.8" x14ac:dyDescent="0.3">
      <c r="B64" s="14" t="s">
        <v>25</v>
      </c>
      <c r="C64" s="14" t="s">
        <v>55</v>
      </c>
    </row>
    <row r="65" spans="2:3" ht="28.8" x14ac:dyDescent="0.3">
      <c r="B65" s="14" t="s">
        <v>26</v>
      </c>
      <c r="C65" s="14" t="s">
        <v>56</v>
      </c>
    </row>
    <row r="66" spans="2:3" ht="28.8" x14ac:dyDescent="0.3">
      <c r="B66" s="14" t="s">
        <v>27</v>
      </c>
      <c r="C66" s="14" t="s">
        <v>57</v>
      </c>
    </row>
    <row r="67" spans="2:3" ht="28.8" x14ac:dyDescent="0.3">
      <c r="B67" s="14" t="s">
        <v>58</v>
      </c>
      <c r="C67" s="14" t="s">
        <v>59</v>
      </c>
    </row>
    <row r="68" spans="2:3" ht="28.8" x14ac:dyDescent="0.3">
      <c r="B68" s="14" t="s">
        <v>60</v>
      </c>
      <c r="C68" s="14" t="s">
        <v>61</v>
      </c>
    </row>
    <row r="69" spans="2:3" ht="28.8" x14ac:dyDescent="0.3">
      <c r="B69" s="14" t="s">
        <v>62</v>
      </c>
      <c r="C69" s="14" t="s">
        <v>63</v>
      </c>
    </row>
  </sheetData>
  <mergeCells count="13">
    <mergeCell ref="B39:C39"/>
    <mergeCell ref="W16:X16"/>
    <mergeCell ref="S17:T17"/>
    <mergeCell ref="B1:K3"/>
    <mergeCell ref="B4:K4"/>
    <mergeCell ref="T10:T11"/>
    <mergeCell ref="S10:S11"/>
    <mergeCell ref="B11:C11"/>
    <mergeCell ref="B10:C10"/>
    <mergeCell ref="S6:AB8"/>
    <mergeCell ref="S9:AB9"/>
    <mergeCell ref="C5:C6"/>
    <mergeCell ref="B5:B6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Treesa jose</dc:creator>
  <cp:lastModifiedBy>Gadha Anup</cp:lastModifiedBy>
  <dcterms:created xsi:type="dcterms:W3CDTF">2025-08-20T18:28:21Z</dcterms:created>
  <dcterms:modified xsi:type="dcterms:W3CDTF">2026-02-23T19:18:42Z</dcterms:modified>
</cp:coreProperties>
</file>